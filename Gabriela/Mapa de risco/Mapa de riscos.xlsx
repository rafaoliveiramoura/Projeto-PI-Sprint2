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abif\Downloads\"/>
    </mc:Choice>
  </mc:AlternateContent>
  <xr:revisionPtr revIDLastSave="0" documentId="8_{3CAEC8D9-395A-4BEC-A606-F36516CE4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a de Riscos" sheetId="1" r:id="rId1"/>
    <sheet name="Critérios" sheetId="2" r:id="rId2"/>
  </sheets>
  <definedNames>
    <definedName name="_xlnm._FilterDatabase" localSheetId="0" hidden="1">'Mapa de Riscos'!$A$1:$G$27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<sst xmlns="http://schemas.openxmlformats.org/spreadsheetml/2006/main" count="97" uniqueCount="70">
  <si>
    <t>Risco</t>
  </si>
  <si>
    <t>Probabilidade (P)</t>
  </si>
  <si>
    <t>Impacto (I)</t>
  </si>
  <si>
    <t>P × I</t>
  </si>
  <si>
    <t>Classificação</t>
  </si>
  <si>
    <t>Solução</t>
  </si>
  <si>
    <t>Computador queimar</t>
  </si>
  <si>
    <t>Manter os arquivos sincronizados e utilizar backup; se possível, ter outro computador disponível.</t>
  </si>
  <si>
    <t>Perda de integrante</t>
  </si>
  <si>
    <t>Documentar as tarefas e conhecimentos do projeto para que outro integrante possa assumir a função.</t>
  </si>
  <si>
    <t>Erro de merge</t>
  </si>
  <si>
    <t>Fazer merge por etapas, revisar conflitos e manter branches separadas antes de integrar.</t>
  </si>
  <si>
    <t>Quebrar VM</t>
  </si>
  <si>
    <t>Criar snapshots/backups da VM e evitar alterações sem testar antes.</t>
  </si>
  <si>
    <t>Banco de dados não funcionar</t>
  </si>
  <si>
    <t>Manter script de criação e inserts salvos e testar o banco regularmente.</t>
  </si>
  <si>
    <t>Erro no código</t>
  </si>
  <si>
    <t>Testar as alterações antes do merge e revisar o código em conjunto.</t>
  </si>
  <si>
    <t>Queimar Arduino</t>
  </si>
  <si>
    <t>Evitar ligações incorretas, conferir tensão e corrente e manter um Arduino reserva quando possível.</t>
  </si>
  <si>
    <t>Erro de fetch</t>
  </si>
  <si>
    <t>Validar a API, conferir URL, método e resposta e tratar erros no código.</t>
  </si>
  <si>
    <t>Má instalação do sensor</t>
  </si>
  <si>
    <t>Seguir o esquema de ligação, revisar a instalação e realizar testes antes da utilização.</t>
  </si>
  <si>
    <t>API não conectar</t>
  </si>
  <si>
    <t>Testar a API separadamente e verificar endereço, porta, servidor e conexão.</t>
  </si>
  <si>
    <t>Muitas requisições</t>
  </si>
  <si>
    <t>Controlar a frequência das requisições e implementar intervalos entre as consultas.</t>
  </si>
  <si>
    <t>Clima</t>
  </si>
  <si>
    <t>Proteger os equipamentos contra condições climáticas e evitar exposição desnecessária.</t>
  </si>
  <si>
    <t>Quebrar código da dashboard</t>
  </si>
  <si>
    <t>Manter versões estáveis no Git e testar alterações antes de publicar.</t>
  </si>
  <si>
    <t>Arduino configurado incorretamente</t>
  </si>
  <si>
    <t>Conferir as configurações e realizar testes individuais antes de conectar ao projeto completo.</t>
  </si>
  <si>
    <t>Falha de internet</t>
  </si>
  <si>
    <t>Ter uma alternativa de conexão e, quando possível, continuar o desenvolvimento localmente.</t>
  </si>
  <si>
    <t>Queda de energia</t>
  </si>
  <si>
    <t>Salvar o trabalho frequentemente e utilizar nobreak ou bateria quando disponível.</t>
  </si>
  <si>
    <t>Algum componente do sensor deixar de funcionar</t>
  </si>
  <si>
    <t>Testar componentes individualmente e manter peças de reposição quando possível.</t>
  </si>
  <si>
    <t>Atraso de entrega</t>
  </si>
  <si>
    <t>Antecipar pedidos e acompanhar os prazos para evitar que a entrega comprometa a sprint.</t>
  </si>
  <si>
    <t>Conflito de integrantes</t>
  </si>
  <si>
    <t>Definir responsabilidades, manter comunicação clara e resolver conflitos por meio de alinhamentos.</t>
  </si>
  <si>
    <t>Dia da sprint alguém não poder apresentar</t>
  </si>
  <si>
    <t>Garantir que mais de um integrante conheça cada parte e possa apresentar em caso de ausência.</t>
  </si>
  <si>
    <t>Alguém travou</t>
  </si>
  <si>
    <t>Pedir ajuda ao grupo rapidamente e dividir o problema em tarefas menores.</t>
  </si>
  <si>
    <t>Falta de comprometimento com o projeto</t>
  </si>
  <si>
    <t>Definir tarefas e prazos claros, acompanhar o andamento e redistribuir atividades quando necessário.</t>
  </si>
  <si>
    <t>Perda de sensor</t>
  </si>
  <si>
    <t>Guardar os sensores em local seguro e identificar os componentes utilizados no projeto.</t>
  </si>
  <si>
    <t>VM congelar</t>
  </si>
  <si>
    <t>Salvar o trabalho frequentemente, utilizar snapshots e reiniciar a VM de forma controlada quando necessário.</t>
  </si>
  <si>
    <t>Não ter backup</t>
  </si>
  <si>
    <t>Manter backups em locais diferentes, incluindo Git e armazenamento externo/nuvem.</t>
  </si>
  <si>
    <t>Curto circuito</t>
  </si>
  <si>
    <t>Conferir as conexões antes de energizar o circuito e evitar fios expostos ou ligações incorretas.</t>
  </si>
  <si>
    <t>Faixa do resultado P × I</t>
  </si>
  <si>
    <t>1 a 2</t>
  </si>
  <si>
    <t>Verde</t>
  </si>
  <si>
    <t>3 a 5</t>
  </si>
  <si>
    <t>Amarelo</t>
  </si>
  <si>
    <t>Acima de 5</t>
  </si>
  <si>
    <t>Fórmula utilizada</t>
  </si>
  <si>
    <t>Observação</t>
  </si>
  <si>
    <t>A média geral é calculada com todos os resultados P × I.</t>
  </si>
  <si>
    <t>Ação</t>
  </si>
  <si>
    <t>Mitigar</t>
  </si>
  <si>
    <t>Evitar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</si>
</sst>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69" zoomScaleNormal="100" workbookViewId="0">
      <pane ySplit="1" topLeftCell="A2" activePane="bottomLeft" state="frozen"/>
      <selection pane="bottomLeft" activeCell="L16" sqref="L16"/>
    </sheetView>
  </sheetViews>
  <sheetFormatPr defaultRowHeight="14.4" x14ac:dyDescent="0.3"/>
  <cols>
    <col min="1" max="1" width="42" customWidth="1"/>
    <col min="2" max="2" width="19" customWidth="1"/>
    <col min="3" max="3" width="15" customWidth="1"/>
    <col min="4" max="4" width="12" customWidth="1"/>
    <col min="5" max="5" width="18" customWidth="1"/>
    <col min="7" max="7" width="72.33203125" customWidth="1"/>
  </cols>
  <sheetData>
    <row r="1" spans="1:7" ht="30" customHeight="1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67</v>
      </c>
      <c r="G1" s="4" t="s">
        <v>5</v>
      </c>
    </row>
    <row r="2" spans="1:7" ht="29.4" thickBot="1" x14ac:dyDescent="0.35">
      <c r="A2" s="5" t="s">
        <v>6</v>
      </c>
      <c r="B2" s="5">
        <v>1</v>
      </c>
      <c r="C2" s="5">
        <v>2</v>
      </c>
      <c r="D2" s="5">
        <f t="shared" ref="D2:D27" si="0">B2*C2</f>
        <v>2</v>
      </c>
      <c r="E2" s="6" t="str">
        <f t="shared" ref="E2:E27" si="1">IF(D2&lt;=2,"Verde",IF(D2&lt;=5,"Amarelo","Amarelo"))</f>
        <v>Verde</v>
      </c>
      <c r="F2" s="8" t="s">
        <v>68</v>
      </c>
      <c r="G2" s="5" t="s">
        <v>7</v>
      </c>
    </row>
    <row r="3" spans="1:7" ht="29.4" thickBot="1" x14ac:dyDescent="0.35">
      <c r="A3" s="5" t="s">
        <v>8</v>
      </c>
      <c r="B3" s="5">
        <v>2</v>
      </c>
      <c r="C3" s="5">
        <v>3</v>
      </c>
      <c r="D3" s="5">
        <f t="shared" si="0"/>
        <v>6</v>
      </c>
      <c r="E3" s="7" t="str">
        <f t="shared" si="1"/>
        <v>Amarelo</v>
      </c>
      <c r="F3" s="8" t="s">
        <v>68</v>
      </c>
      <c r="G3" s="5" t="s">
        <v>9</v>
      </c>
    </row>
    <row r="4" spans="1:7" ht="29.4" thickBot="1" x14ac:dyDescent="0.35">
      <c r="A4" s="5" t="s">
        <v>10</v>
      </c>
      <c r="B4" s="5">
        <v>3</v>
      </c>
      <c r="C4" s="5">
        <v>1</v>
      </c>
      <c r="D4" s="5">
        <f t="shared" si="0"/>
        <v>3</v>
      </c>
      <c r="E4" s="7" t="str">
        <f t="shared" si="1"/>
        <v>Amarelo</v>
      </c>
      <c r="F4" s="8" t="s">
        <v>68</v>
      </c>
      <c r="G4" s="5" t="s">
        <v>11</v>
      </c>
    </row>
    <row r="5" spans="1:7" ht="15" thickBot="1" x14ac:dyDescent="0.35">
      <c r="A5" s="5" t="s">
        <v>12</v>
      </c>
      <c r="B5" s="5">
        <v>2</v>
      </c>
      <c r="C5" s="5">
        <v>2</v>
      </c>
      <c r="D5" s="5">
        <f t="shared" si="0"/>
        <v>4</v>
      </c>
      <c r="E5" s="7" t="str">
        <f t="shared" si="1"/>
        <v>Amarelo</v>
      </c>
      <c r="F5" s="8" t="s">
        <v>68</v>
      </c>
      <c r="G5" s="5" t="s">
        <v>13</v>
      </c>
    </row>
    <row r="6" spans="1:7" ht="15" thickBot="1" x14ac:dyDescent="0.35">
      <c r="A6" s="5" t="s">
        <v>14</v>
      </c>
      <c r="B6" s="5">
        <v>1</v>
      </c>
      <c r="C6" s="5">
        <v>3</v>
      </c>
      <c r="D6" s="5">
        <f t="shared" si="0"/>
        <v>3</v>
      </c>
      <c r="E6" s="7" t="str">
        <f t="shared" si="1"/>
        <v>Amarelo</v>
      </c>
      <c r="F6" s="8" t="s">
        <v>68</v>
      </c>
      <c r="G6" s="5" t="s">
        <v>15</v>
      </c>
    </row>
    <row r="7" spans="1:7" ht="15" thickBot="1" x14ac:dyDescent="0.35">
      <c r="A7" s="5" t="s">
        <v>16</v>
      </c>
      <c r="B7" s="5">
        <v>3</v>
      </c>
      <c r="C7" s="5">
        <v>1</v>
      </c>
      <c r="D7" s="5">
        <f t="shared" si="0"/>
        <v>3</v>
      </c>
      <c r="E7" s="7" t="str">
        <f t="shared" si="1"/>
        <v>Amarelo</v>
      </c>
      <c r="F7" s="8" t="s">
        <v>68</v>
      </c>
      <c r="G7" s="5" t="s">
        <v>17</v>
      </c>
    </row>
    <row r="8" spans="1:7" ht="29.4" thickBot="1" x14ac:dyDescent="0.35">
      <c r="A8" s="5" t="s">
        <v>18</v>
      </c>
      <c r="B8" s="5">
        <v>3</v>
      </c>
      <c r="C8" s="5">
        <v>3</v>
      </c>
      <c r="D8" s="5">
        <f t="shared" si="0"/>
        <v>9</v>
      </c>
      <c r="E8" s="7" t="str">
        <f t="shared" si="1"/>
        <v>Amarelo</v>
      </c>
      <c r="F8" s="8" t="s">
        <v>68</v>
      </c>
      <c r="G8" s="5" t="s">
        <v>19</v>
      </c>
    </row>
    <row r="9" spans="1:7" ht="15" thickBot="1" x14ac:dyDescent="0.35">
      <c r="A9" s="5" t="s">
        <v>20</v>
      </c>
      <c r="B9" s="5">
        <v>1</v>
      </c>
      <c r="C9" s="5">
        <v>3</v>
      </c>
      <c r="D9" s="5">
        <f t="shared" si="0"/>
        <v>3</v>
      </c>
      <c r="E9" s="7" t="str">
        <f t="shared" si="1"/>
        <v>Amarelo</v>
      </c>
      <c r="F9" s="8" t="s">
        <v>68</v>
      </c>
      <c r="G9" s="5" t="s">
        <v>21</v>
      </c>
    </row>
    <row r="10" spans="1:7" ht="15" thickBot="1" x14ac:dyDescent="0.35">
      <c r="A10" s="5" t="s">
        <v>22</v>
      </c>
      <c r="B10" s="5">
        <v>1</v>
      </c>
      <c r="C10" s="5">
        <v>3</v>
      </c>
      <c r="D10" s="5">
        <f t="shared" si="0"/>
        <v>3</v>
      </c>
      <c r="E10" s="7" t="str">
        <f t="shared" si="1"/>
        <v>Amarelo</v>
      </c>
      <c r="F10" s="8" t="s">
        <v>68</v>
      </c>
      <c r="G10" s="5" t="s">
        <v>23</v>
      </c>
    </row>
    <row r="11" spans="1:7" ht="15" thickBot="1" x14ac:dyDescent="0.35">
      <c r="A11" s="5" t="s">
        <v>24</v>
      </c>
      <c r="B11" s="5">
        <v>2</v>
      </c>
      <c r="C11" s="5">
        <v>1</v>
      </c>
      <c r="D11" s="5">
        <f t="shared" si="0"/>
        <v>2</v>
      </c>
      <c r="E11" s="6" t="str">
        <f t="shared" si="1"/>
        <v>Verde</v>
      </c>
      <c r="F11" s="8" t="s">
        <v>68</v>
      </c>
      <c r="G11" s="5" t="s">
        <v>25</v>
      </c>
    </row>
    <row r="12" spans="1:7" ht="15" thickBot="1" x14ac:dyDescent="0.35">
      <c r="A12" s="5" t="s">
        <v>26</v>
      </c>
      <c r="B12" s="5">
        <v>1</v>
      </c>
      <c r="C12" s="5">
        <v>1</v>
      </c>
      <c r="D12" s="5">
        <f t="shared" si="0"/>
        <v>1</v>
      </c>
      <c r="E12" s="6" t="str">
        <f t="shared" si="1"/>
        <v>Verde</v>
      </c>
      <c r="F12" s="8" t="s">
        <v>68</v>
      </c>
      <c r="G12" s="5" t="s">
        <v>27</v>
      </c>
    </row>
    <row r="13" spans="1:7" ht="29.4" thickBot="1" x14ac:dyDescent="0.35">
      <c r="A13" s="5" t="s">
        <v>28</v>
      </c>
      <c r="B13" s="5">
        <v>1</v>
      </c>
      <c r="C13" s="5">
        <v>2</v>
      </c>
      <c r="D13" s="5">
        <f t="shared" si="0"/>
        <v>2</v>
      </c>
      <c r="E13" s="6" t="str">
        <f t="shared" si="1"/>
        <v>Verde</v>
      </c>
      <c r="F13" s="8" t="s">
        <v>68</v>
      </c>
      <c r="G13" s="5" t="s">
        <v>29</v>
      </c>
    </row>
    <row r="14" spans="1:7" ht="15" thickBot="1" x14ac:dyDescent="0.35">
      <c r="A14" s="5" t="s">
        <v>30</v>
      </c>
      <c r="B14" s="5">
        <v>1</v>
      </c>
      <c r="C14" s="5">
        <v>2</v>
      </c>
      <c r="D14" s="5">
        <f t="shared" si="0"/>
        <v>2</v>
      </c>
      <c r="E14" s="6" t="str">
        <f t="shared" si="1"/>
        <v>Verde</v>
      </c>
      <c r="F14" s="8" t="s">
        <v>68</v>
      </c>
      <c r="G14" s="5" t="s">
        <v>31</v>
      </c>
    </row>
    <row r="15" spans="1:7" ht="29.4" thickBot="1" x14ac:dyDescent="0.35">
      <c r="A15" s="5" t="s">
        <v>32</v>
      </c>
      <c r="B15" s="5">
        <v>1</v>
      </c>
      <c r="C15" s="5">
        <v>2</v>
      </c>
      <c r="D15" s="5">
        <f t="shared" si="0"/>
        <v>2</v>
      </c>
      <c r="E15" s="6" t="str">
        <f t="shared" si="1"/>
        <v>Verde</v>
      </c>
      <c r="F15" s="8" t="s">
        <v>68</v>
      </c>
      <c r="G15" s="5" t="s">
        <v>33</v>
      </c>
    </row>
    <row r="16" spans="1:7" ht="29.4" thickBot="1" x14ac:dyDescent="0.35">
      <c r="A16" s="5" t="s">
        <v>34</v>
      </c>
      <c r="B16" s="5">
        <v>1</v>
      </c>
      <c r="C16" s="5">
        <v>1</v>
      </c>
      <c r="D16" s="5">
        <f t="shared" si="0"/>
        <v>1</v>
      </c>
      <c r="E16" s="6" t="str">
        <f t="shared" si="1"/>
        <v>Verde</v>
      </c>
      <c r="F16" s="8" t="s">
        <v>68</v>
      </c>
      <c r="G16" s="5" t="s">
        <v>35</v>
      </c>
    </row>
    <row r="17" spans="1:7" ht="15" thickBot="1" x14ac:dyDescent="0.35">
      <c r="A17" s="5" t="s">
        <v>36</v>
      </c>
      <c r="B17" s="5">
        <v>1</v>
      </c>
      <c r="C17" s="5">
        <v>1</v>
      </c>
      <c r="D17" s="5">
        <f t="shared" si="0"/>
        <v>1</v>
      </c>
      <c r="E17" s="6" t="str">
        <f t="shared" si="1"/>
        <v>Verde</v>
      </c>
      <c r="F17" s="8" t="s">
        <v>68</v>
      </c>
      <c r="G17" s="5" t="s">
        <v>37</v>
      </c>
    </row>
    <row r="18" spans="1:7" ht="29.4" thickBot="1" x14ac:dyDescent="0.35">
      <c r="A18" s="5" t="s">
        <v>38</v>
      </c>
      <c r="B18" s="5">
        <v>1</v>
      </c>
      <c r="C18" s="5">
        <v>3</v>
      </c>
      <c r="D18" s="5">
        <f t="shared" si="0"/>
        <v>3</v>
      </c>
      <c r="E18" s="7" t="str">
        <f t="shared" si="1"/>
        <v>Amarelo</v>
      </c>
      <c r="F18" s="8" t="s">
        <v>68</v>
      </c>
      <c r="G18" s="5" t="s">
        <v>39</v>
      </c>
    </row>
    <row r="19" spans="1:7" ht="29.4" thickBot="1" x14ac:dyDescent="0.35">
      <c r="A19" s="5" t="s">
        <v>40</v>
      </c>
      <c r="B19" s="5">
        <v>1</v>
      </c>
      <c r="C19" s="5">
        <v>2</v>
      </c>
      <c r="D19" s="5">
        <f t="shared" si="0"/>
        <v>2</v>
      </c>
      <c r="E19" s="6" t="str">
        <f t="shared" si="1"/>
        <v>Verde</v>
      </c>
      <c r="F19" s="8" t="s">
        <v>68</v>
      </c>
      <c r="G19" s="5" t="s">
        <v>41</v>
      </c>
    </row>
    <row r="20" spans="1:7" ht="29.4" thickBot="1" x14ac:dyDescent="0.35">
      <c r="A20" s="5" t="s">
        <v>42</v>
      </c>
      <c r="B20" s="5">
        <v>1</v>
      </c>
      <c r="C20" s="5">
        <v>2</v>
      </c>
      <c r="D20" s="5">
        <f t="shared" si="0"/>
        <v>2</v>
      </c>
      <c r="E20" s="6" t="str">
        <f t="shared" si="1"/>
        <v>Verde</v>
      </c>
      <c r="F20" s="8" t="s">
        <v>68</v>
      </c>
      <c r="G20" s="5" t="s">
        <v>43</v>
      </c>
    </row>
    <row r="21" spans="1:7" ht="29.4" thickBot="1" x14ac:dyDescent="0.35">
      <c r="A21" s="5" t="s">
        <v>44</v>
      </c>
      <c r="B21" s="5">
        <v>3</v>
      </c>
      <c r="C21" s="5">
        <v>3</v>
      </c>
      <c r="D21" s="5">
        <f t="shared" si="0"/>
        <v>9</v>
      </c>
      <c r="E21" s="7" t="str">
        <f t="shared" si="1"/>
        <v>Amarelo</v>
      </c>
      <c r="F21" s="8" t="s">
        <v>68</v>
      </c>
      <c r="G21" s="5" t="s">
        <v>45</v>
      </c>
    </row>
    <row r="22" spans="1:7" ht="15" thickBot="1" x14ac:dyDescent="0.35">
      <c r="A22" s="5" t="s">
        <v>46</v>
      </c>
      <c r="B22" s="5">
        <v>3</v>
      </c>
      <c r="C22" s="5">
        <v>1</v>
      </c>
      <c r="D22" s="5">
        <f t="shared" si="0"/>
        <v>3</v>
      </c>
      <c r="E22" s="7" t="str">
        <f t="shared" si="1"/>
        <v>Amarelo</v>
      </c>
      <c r="F22" s="8" t="s">
        <v>68</v>
      </c>
      <c r="G22" s="5" t="s">
        <v>47</v>
      </c>
    </row>
    <row r="23" spans="1:7" ht="29.4" thickBot="1" x14ac:dyDescent="0.35">
      <c r="A23" s="5" t="s">
        <v>48</v>
      </c>
      <c r="B23" s="5">
        <v>1</v>
      </c>
      <c r="C23" s="5">
        <v>2</v>
      </c>
      <c r="D23" s="5">
        <f t="shared" si="0"/>
        <v>2</v>
      </c>
      <c r="E23" s="6" t="str">
        <f t="shared" si="1"/>
        <v>Verde</v>
      </c>
      <c r="F23" s="8" t="s">
        <v>68</v>
      </c>
      <c r="G23" s="5" t="s">
        <v>49</v>
      </c>
    </row>
    <row r="24" spans="1:7" ht="29.4" thickBot="1" x14ac:dyDescent="0.35">
      <c r="A24" s="5" t="s">
        <v>50</v>
      </c>
      <c r="B24" s="5">
        <v>1</v>
      </c>
      <c r="C24" s="5">
        <v>2</v>
      </c>
      <c r="D24" s="5">
        <f t="shared" si="0"/>
        <v>2</v>
      </c>
      <c r="E24" s="6" t="str">
        <f t="shared" si="1"/>
        <v>Verde</v>
      </c>
      <c r="F24" s="8" t="s">
        <v>68</v>
      </c>
      <c r="G24" s="5" t="s">
        <v>51</v>
      </c>
    </row>
    <row r="25" spans="1:7" ht="29.4" thickBot="1" x14ac:dyDescent="0.35">
      <c r="A25" s="5" t="s">
        <v>52</v>
      </c>
      <c r="B25" s="5">
        <v>2</v>
      </c>
      <c r="C25" s="5">
        <v>2</v>
      </c>
      <c r="D25" s="5">
        <f t="shared" si="0"/>
        <v>4</v>
      </c>
      <c r="E25" s="7" t="str">
        <f t="shared" si="1"/>
        <v>Amarelo</v>
      </c>
      <c r="F25" s="8" t="s">
        <v>68</v>
      </c>
      <c r="G25" s="5" t="s">
        <v>53</v>
      </c>
    </row>
    <row r="26" spans="1:7" ht="15" thickBot="1" x14ac:dyDescent="0.35">
      <c r="A26" s="5" t="s">
        <v>54</v>
      </c>
      <c r="B26" s="5">
        <v>1</v>
      </c>
      <c r="C26" s="5">
        <v>3</v>
      </c>
      <c r="D26" s="5">
        <f t="shared" si="0"/>
        <v>3</v>
      </c>
      <c r="E26" s="7" t="str">
        <f t="shared" si="1"/>
        <v>Amarelo</v>
      </c>
      <c r="F26" s="8" t="s">
        <v>68</v>
      </c>
      <c r="G26" s="5" t="s">
        <v>55</v>
      </c>
    </row>
    <row r="27" spans="1:7" ht="29.4" thickBot="1" x14ac:dyDescent="0.35">
      <c r="A27" s="5" t="s">
        <v>56</v>
      </c>
      <c r="B27" s="5">
        <v>1</v>
      </c>
      <c r="C27" s="5">
        <v>2</v>
      </c>
      <c r="D27" s="5">
        <f t="shared" si="0"/>
        <v>2</v>
      </c>
      <c r="E27" s="6" t="str">
        <f t="shared" si="1"/>
        <v>Verde</v>
      </c>
      <c r="F27" s="8" t="s">
        <v>69</v>
      </c>
      <c r="G27" s="5" t="s">
        <v>57</v>
      </c>
    </row>
    <row r="28" spans="1:7" x14ac:dyDescent="0.3">
      <c r="A28" s="2"/>
      <c r="B28" s="2"/>
      <c r="C28" s="2"/>
      <c r="D28" s="2"/>
      <c r="E28" s="2"/>
      <c r="G28" s="2"/>
    </row>
    <row r="29" spans="1:7" x14ac:dyDescent="0.3">
      <c r="A29" s="3"/>
      <c r="B29" s="2"/>
      <c r="C29" s="2"/>
      <c r="D29" s="3"/>
      <c r="E29" s="2"/>
      <c r="G29" s="2"/>
    </row>
  </sheetData>
  <autoFilter ref="A1:F27" xr:uid="{00000000-0009-0000-0000-000000000000}"/>
  <conditionalFormatting sqref="E2:E27">
    <cfRule type="expression" dxfId="1" priority="1">
      <formula>E2="Verde"</formula>
    </cfRule>
    <cfRule type="expression" dxfId="0" priority="2">
      <formula>E2="Amarelo"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30" customWidth="1"/>
    <col min="2" max="2" width="65" customWidth="1"/>
  </cols>
  <sheetData>
    <row r="1" spans="1:2" x14ac:dyDescent="0.3">
      <c r="A1" s="1" t="s">
        <v>58</v>
      </c>
      <c r="B1" s="1" t="s">
        <v>4</v>
      </c>
    </row>
    <row r="2" spans="1:2" x14ac:dyDescent="0.3">
      <c r="A2" s="2" t="s">
        <v>59</v>
      </c>
      <c r="B2" s="2" t="s">
        <v>60</v>
      </c>
    </row>
    <row r="3" spans="1:2" x14ac:dyDescent="0.3">
      <c r="A3" s="2" t="s">
        <v>61</v>
      </c>
      <c r="B3" s="2" t="s">
        <v>62</v>
      </c>
    </row>
    <row r="4" spans="1:2" x14ac:dyDescent="0.3">
      <c r="A4" s="2" t="s">
        <v>63</v>
      </c>
      <c r="B4" s="2" t="s">
        <v>62</v>
      </c>
    </row>
    <row r="5" spans="1:2" x14ac:dyDescent="0.3">
      <c r="A5" s="2"/>
      <c r="B5" s="2"/>
    </row>
    <row r="6" spans="1:2" x14ac:dyDescent="0.3">
      <c r="A6" s="2" t="s">
        <v>64</v>
      </c>
      <c r="B6" s="2" t="s">
        <v>3</v>
      </c>
    </row>
    <row r="7" spans="1:2" x14ac:dyDescent="0.3">
      <c r="A7" s="2" t="s">
        <v>65</v>
      </c>
      <c r="B7" s="2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Mapa de Riscos</vt:lpstr>
      <vt:lpstr>Critérios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FERREIRA CAMARGO MARCELINO</cp:lastModifiedBy>
  <dcterms:created xsi:type="dcterms:W3CDTF">2026-10-06T20:47:28Z</dcterms:created>
  <dcterms:modified xsi:type="dcterms:W3CDTF">2026-10-06T20:55:37Z</dcterms:modified>
</cp:coreProperties>
</file>